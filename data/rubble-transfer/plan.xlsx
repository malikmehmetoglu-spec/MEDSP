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219" documentId="11_A6BF2E2CF2CA68D323205908F6291AA03A305B13" xr6:coauthVersionLast="47" xr6:coauthVersionMax="47" xr10:uidLastSave="{B4D63C01-F6CB-42FB-A7F4-8E6431558342}"/>
  <bookViews>
    <workbookView xWindow="360" yWindow="15" windowWidth="20955" windowHeight="9720" xr2:uid="{00000000-000D-0000-FFFF-FFFF00000000}"/>
  </bookViews>
  <sheets>
    <sheet name="ورقة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 l="1"/>
  <c r="C13" i="1"/>
  <c r="D13" i="1"/>
  <c r="D20" i="1"/>
  <c r="C20" i="1"/>
  <c r="D8" i="1"/>
  <c r="D21" i="1" s="1"/>
  <c r="E19" i="1"/>
  <c r="E6" i="1"/>
  <c r="E7" i="1"/>
  <c r="E9" i="1"/>
  <c r="E10" i="1"/>
  <c r="E11" i="1"/>
  <c r="E12" i="1"/>
  <c r="E14" i="1"/>
  <c r="E15" i="1"/>
  <c r="E16" i="1"/>
  <c r="E17" i="1"/>
  <c r="E18" i="1"/>
  <c r="E5" i="1"/>
  <c r="B3" i="1"/>
  <c r="C21" i="1" l="1"/>
  <c r="E21" i="1" s="1"/>
  <c r="E8" i="1"/>
  <c r="E20" i="1"/>
  <c r="E13" i="1"/>
</calcChain>
</file>

<file path=xl/sharedStrings.xml><?xml version="1.0" encoding="utf-8"?>
<sst xmlns="http://schemas.openxmlformats.org/spreadsheetml/2006/main" count="41" uniqueCount="34">
  <si>
    <t>تقرير مرحلي لحالة مشاريع ترحيل الأنقاض خلال 2026</t>
  </si>
  <si>
    <t xml:space="preserve">تاريخ التقرير </t>
  </si>
  <si>
    <t xml:space="preserve">المرحلة </t>
  </si>
  <si>
    <t>المحافظة</t>
  </si>
  <si>
    <t>الكمية المخططة (m3)</t>
  </si>
  <si>
    <t>الكمية المنفذة (m3)</t>
  </si>
  <si>
    <t xml:space="preserve">نسبة الإنجاز </t>
  </si>
  <si>
    <t>ملاحظات</t>
  </si>
  <si>
    <t>المرحلة الأولى</t>
  </si>
  <si>
    <t>ادلب</t>
  </si>
  <si>
    <t>تم الانتهاء</t>
  </si>
  <si>
    <t>اللاذقية</t>
  </si>
  <si>
    <t>حماة</t>
  </si>
  <si>
    <t>اجمالي المرحلة الاولى</t>
  </si>
  <si>
    <t>المرحلة الثانية</t>
  </si>
  <si>
    <t>حلب</t>
  </si>
  <si>
    <t>تم استخدام الكميات المتبقية من ساعات عمل الاليات ومعادلتها بسعر ترحيل الأنقاض</t>
  </si>
  <si>
    <t>دير الزور</t>
  </si>
  <si>
    <t>ارسلت الشركة السورية للتشييد والبناء(المقاول)كتابا بالسعر الجديد بزيادة 50% عن السعر القديم وتم ارسال العرض الجديد من الدعم التنفيذي الى القسم المالي لدراسته كما تم ارسال نسخة من العرض الى السيد معاون الوزير وبانتظار الموافقات على الاسعار الجديدة للبدء بالمشروع</t>
  </si>
  <si>
    <t>تم الانتهاء من العمل في مناطق معرة النعمان ومركز ادلب وخان شيخون وجسر الشغور ولا زال العمل جاري في اريحا</t>
  </si>
  <si>
    <t>العمل متوقف اليوم في كل المواقع بسبب سوء الاحوال الجوية وخطورة الطرق</t>
  </si>
  <si>
    <t xml:space="preserve">اجمالي المرحلة الثانية </t>
  </si>
  <si>
    <t>المرحلة الثالثة</t>
  </si>
  <si>
    <t>درعا</t>
  </si>
  <si>
    <t xml:space="preserve">بعد الانتهاء من اعلان المناقصة تم تقديم عرض واحد فقط لمقاول واحد فقط في منطقة درعا </t>
  </si>
  <si>
    <t>ريف دمشق</t>
  </si>
  <si>
    <t>في مرحلة فض العروض وبانتظار موافقة الوزير على طلب كتاب العقد بالتراضي علما انه قد تم رفع الطلب منذ الاربعاء الماضي بتاريخ 30/9/2026
سيتم اجراء مقابلات لاستقطاب الكادر الهندسي وستبدا المقابلات اعتبارا من الغد بتاريخ 5/10/2026</t>
  </si>
  <si>
    <t>تم الانتهاء من تقديم العروض من قبل المقاولين بعد الانتهاء من اعلان المناقصة وتم ترشيح 
اسماء كادر هندسي ليتم اجراء مقابلات معهم وانطلاق المشروع حيث من المتوقع انطلاق المشروع بداية 
1/11/2026</t>
  </si>
  <si>
    <t>حمص</t>
  </si>
  <si>
    <t xml:space="preserve">تم الانتهاء من المعاينة البصرية  لمسح المخلفات الحربية ولكن سيبقى فريق  من ال UXOموجود اثناء العمل مع الفريق الميداني  لضمان الامن وسلامة العمال 
جاري العمل على اجراء المقابلات واستقطاب الكادر الهندسي بالتنسيق مع التنمية 
اليوم هو اخر موعد لاعلان المناقصة وانتهاء التقديم </t>
  </si>
  <si>
    <t xml:space="preserve">تم توقف الاعمال في جبل سمعان بتاريخ 3/10 بسبب الامطار وسوء احوال الطقس وكان العمل مستمر في منطقة اعزاز
تم استئناف العمل في جبل سمعان بتاريخ 4/10 بعد توقف الامطار 
 العمل جاري في اعزاز ومنطقة جبل سمعان </t>
  </si>
  <si>
    <t xml:space="preserve">تم الانتهاء من تقديم عروض المقاولين لمنطقة معرة النعمان وخان شيخون وهم في مرحلة فض العروض 
اما بالنسبة لجسر الشغور وادلب فالعقود بمجلس تدقيق الدولة </t>
  </si>
  <si>
    <t xml:space="preserve">اجمالي المرحلة الثالثة </t>
  </si>
  <si>
    <t>اجمالي المراحل الثلاثة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</si>
</sst>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6"/>
      <color theme="1"/>
      <name val="Calibri"/>
      <scheme val="minor"/>
    </font>
    <font>
      <sz val="14"/>
      <color theme="1"/>
      <name val="Calibri"/>
      <scheme val="minor"/>
    </font>
    <font>
      <b/>
      <sz val="14"/>
      <color theme="0"/>
      <name val="Calibri"/>
      <scheme val="minor"/>
    </font>
    <font>
      <sz val="11"/>
      <color theme="1"/>
      <name val="Calibri"/>
      <scheme val="minor"/>
    </font>
    <font>
      <sz val="20"/>
      <color rgb="FFFF0000"/>
      <name val="Calibri"/>
      <scheme val="minor"/>
    </font>
    <font>
      <b/>
      <sz val="18"/>
      <color theme="1"/>
      <name val="Calibri"/>
      <scheme val="minor"/>
    </font>
    <font>
      <b/>
      <sz val="14"/>
      <color rgb="FFFF0000"/>
      <name val="Calibri"/>
      <scheme val="minor"/>
    </font>
    <font>
      <b/>
      <sz val="20"/>
      <color rgb="FF0070C0"/>
      <name val="Calibri"/>
      <scheme val="minor"/>
    </font>
  </fonts>
  <fills count="5">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5"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theme="4"/>
      </left>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style="thin">
        <color theme="4"/>
      </bottom>
      <diagonal/>
    </border>
    <border>
      <left/>
      <right/>
      <top style="thin">
        <color theme="4"/>
      </top>
      <bottom style="thin">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4"/>
      </left>
      <right/>
      <top style="thin">
        <color theme="4"/>
      </top>
      <bottom style="thin">
        <color theme="4"/>
      </bottom>
      <diagonal/>
    </border>
    <border>
      <left style="thin">
        <color rgb="FF000000"/>
      </left>
      <right/>
      <top style="thin">
        <color rgb="FF000000"/>
      </top>
      <bottom style="thin">
        <color rgb="FF000000"/>
      </bottom>
      <diagonal/>
    </border>
  </borders>
  <cellStyleXfs count="2">
    <xf numFmtId="0" fontId="0" fillId="0" borderId="0"/>
    <xf numFmtId="9" fontId="4" fillId="0" borderId="0" applyFont="0" applyFill="0" applyBorder="0" applyProtection="0"/>
  </cellStyleXfs>
  <cellXfs count="23">
    <xf numFmtId="0" fontId="0" fillId="0" borderId="0" xfId="0"/>
    <xf numFmtId="0" fontId="2" fillId="0" borderId="1" xfId="0" applyFont="1" applyBorder="1" applyAlignment="1">
      <alignment horizontal="center" vertical="center"/>
    </xf>
    <xf numFmtId="0" fontId="3" fillId="2" borderId="2" xfId="0" applyFont="1" applyFill="1" applyBorder="1" applyAlignment="1">
      <alignment horizontal="center" vertical="center"/>
    </xf>
    <xf numFmtId="0" fontId="3" fillId="2" borderId="0" xfId="0" applyFont="1" applyFill="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10" fontId="2" fillId="0" borderId="3" xfId="1" applyNumberFormat="1" applyFont="1" applyBorder="1" applyAlignment="1">
      <alignment horizontal="center" vertical="center"/>
    </xf>
    <xf numFmtId="40" fontId="5" fillId="0" borderId="8" xfId="0" applyNumberFormat="1" applyFont="1" applyBorder="1" applyAlignment="1">
      <alignment horizontal="center"/>
    </xf>
    <xf numFmtId="0" fontId="7" fillId="3" borderId="3" xfId="0" applyFont="1" applyFill="1" applyBorder="1" applyAlignment="1">
      <alignment horizontal="center" vertical="center"/>
    </xf>
    <xf numFmtId="40" fontId="8" fillId="4" borderId="9" xfId="0" applyNumberFormat="1" applyFont="1" applyFill="1" applyBorder="1" applyAlignment="1">
      <alignment horizontal="center" vertical="center"/>
    </xf>
    <xf numFmtId="40" fontId="8" fillId="4" borderId="8" xfId="0" applyNumberFormat="1" applyFont="1" applyFill="1" applyBorder="1" applyAlignment="1">
      <alignment horizontal="center" vertical="center"/>
    </xf>
    <xf numFmtId="0" fontId="6" fillId="4" borderId="11" xfId="0" applyFont="1" applyFill="1" applyBorder="1" applyAlignment="1">
      <alignment horizontal="center" vertical="center"/>
    </xf>
    <xf numFmtId="0" fontId="6" fillId="4"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7" xfId="0" applyFont="1" applyFill="1" applyBorder="1" applyAlignment="1">
      <alignment horizontal="center" vertical="center"/>
    </xf>
    <xf numFmtId="0" fontId="1" fillId="0" borderId="0" xfId="0" applyFont="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cellXfs>
  <cellStyles count="2">
    <cellStyle name="Percent" xfId="1" builtinId="5"/>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rightToLeft="1" tabSelected="1" topLeftCell="A9" workbookViewId="0">
      <selection activeCell="D13" sqref="D13"/>
    </sheetView>
  </sheetViews>
  <sheetFormatPr defaultRowHeight="14.25"/>
  <cols>
    <col min="1" max="1" width="22" customWidth="1"/>
    <col min="2" max="2" width="14.28515625" customWidth="1"/>
    <col min="3" max="3" width="24.85546875" customWidth="1"/>
    <col min="4" max="4" width="21.85546875" customWidth="1"/>
    <col min="5" max="5" width="21.7109375" customWidth="1"/>
    <col min="6" max="6" width="116.28515625" customWidth="1"/>
  </cols>
  <sheetData>
    <row r="1" spans="1:6">
      <c r="A1" s="17" t="s">
        <v>0</v>
      </c>
      <c r="B1" s="17"/>
      <c r="C1" s="17"/>
      <c r="D1" s="17"/>
      <c r="E1" s="17"/>
      <c r="F1" s="17"/>
    </row>
    <row r="2" spans="1:6">
      <c r="A2" s="17"/>
      <c r="B2" s="17"/>
      <c r="C2" s="17"/>
      <c r="D2" s="17"/>
      <c r="E2" s="17"/>
      <c r="F2" s="17"/>
    </row>
    <row r="3" spans="1:6" ht="26.45" customHeight="1">
      <c r="A3" s="1" t="s">
        <v>1</v>
      </c>
      <c r="B3" s="18">
        <f ca="1">TODAY()</f>
        <v>46301</v>
      </c>
      <c r="C3" s="19"/>
    </row>
    <row r="4" spans="1:6" ht="26.45" customHeight="1">
      <c r="A4" s="2" t="s">
        <v>2</v>
      </c>
      <c r="B4" s="3" t="s">
        <v>3</v>
      </c>
      <c r="C4" s="3" t="s">
        <v>4</v>
      </c>
      <c r="D4" s="4" t="s">
        <v>5</v>
      </c>
      <c r="E4" s="4" t="s">
        <v>6</v>
      </c>
      <c r="F4" s="5" t="s">
        <v>7</v>
      </c>
    </row>
    <row r="5" spans="1:6" ht="37.9" customHeight="1">
      <c r="A5" s="20" t="s">
        <v>8</v>
      </c>
      <c r="B5" s="6" t="s">
        <v>9</v>
      </c>
      <c r="C5" s="6">
        <v>562000</v>
      </c>
      <c r="D5" s="6">
        <v>700239</v>
      </c>
      <c r="E5" s="8">
        <f>D5/C5</f>
        <v>1.2459768683274022</v>
      </c>
      <c r="F5" s="7" t="s">
        <v>10</v>
      </c>
    </row>
    <row r="6" spans="1:6" ht="37.9" customHeight="1">
      <c r="A6" s="21"/>
      <c r="B6" s="6" t="s">
        <v>11</v>
      </c>
      <c r="C6" s="6">
        <v>56614</v>
      </c>
      <c r="D6" s="6">
        <v>56798</v>
      </c>
      <c r="E6" s="8">
        <f t="shared" ref="E6:E19" si="0">D6/C6</f>
        <v>1.0032500794856396</v>
      </c>
      <c r="F6" s="7" t="s">
        <v>10</v>
      </c>
    </row>
    <row r="7" spans="1:6" ht="37.9" customHeight="1">
      <c r="A7" s="22"/>
      <c r="B7" s="6" t="s">
        <v>12</v>
      </c>
      <c r="C7" s="6">
        <v>441371</v>
      </c>
      <c r="D7" s="6">
        <v>441371</v>
      </c>
      <c r="E7" s="8">
        <f t="shared" si="0"/>
        <v>1</v>
      </c>
      <c r="F7" s="7" t="s">
        <v>10</v>
      </c>
    </row>
    <row r="8" spans="1:6" ht="37.9" customHeight="1">
      <c r="A8" s="15" t="s">
        <v>13</v>
      </c>
      <c r="B8" s="16"/>
      <c r="C8" s="10">
        <f>SUM(C5:C7)</f>
        <v>1059985</v>
      </c>
      <c r="D8" s="10">
        <f>SUM(D5:D7)</f>
        <v>1198408</v>
      </c>
      <c r="E8" s="8">
        <f t="shared" si="0"/>
        <v>1.1305895838148654</v>
      </c>
      <c r="F8" s="7"/>
    </row>
    <row r="9" spans="1:6" ht="37.9" customHeight="1">
      <c r="A9" s="20" t="s">
        <v>14</v>
      </c>
      <c r="B9" s="6" t="s">
        <v>15</v>
      </c>
      <c r="C9" s="6">
        <v>548500</v>
      </c>
      <c r="D9" s="6">
        <v>549131.1</v>
      </c>
      <c r="E9" s="8">
        <f t="shared" si="0"/>
        <v>1.0011505925250683</v>
      </c>
      <c r="F9" s="7" t="s">
        <v>16</v>
      </c>
    </row>
    <row r="10" spans="1:6" ht="54" customHeight="1">
      <c r="A10" s="21"/>
      <c r="B10" s="6" t="s">
        <v>17</v>
      </c>
      <c r="C10" s="6">
        <v>325075</v>
      </c>
      <c r="D10" s="6">
        <v>0</v>
      </c>
      <c r="E10" s="8">
        <f t="shared" si="0"/>
        <v>0</v>
      </c>
      <c r="F10" s="7" t="s">
        <v>18</v>
      </c>
    </row>
    <row r="11" spans="1:6" ht="37.9" customHeight="1">
      <c r="A11" s="21"/>
      <c r="B11" s="6" t="s">
        <v>9</v>
      </c>
      <c r="C11" s="6">
        <v>641500</v>
      </c>
      <c r="D11" s="6">
        <v>610169</v>
      </c>
      <c r="E11" s="8">
        <f t="shared" si="0"/>
        <v>0.95115978176149651</v>
      </c>
      <c r="F11" s="7" t="s">
        <v>19</v>
      </c>
    </row>
    <row r="12" spans="1:6" ht="37.9" customHeight="1">
      <c r="A12" s="22"/>
      <c r="B12" s="6" t="s">
        <v>11</v>
      </c>
      <c r="C12" s="6">
        <v>50000</v>
      </c>
      <c r="D12" s="6">
        <v>23409</v>
      </c>
      <c r="E12" s="8">
        <f t="shared" si="0"/>
        <v>0.46817999999999999</v>
      </c>
      <c r="F12" s="7" t="s">
        <v>20</v>
      </c>
    </row>
    <row r="13" spans="1:6" ht="37.9" customHeight="1">
      <c r="A13" s="15" t="s">
        <v>21</v>
      </c>
      <c r="B13" s="16"/>
      <c r="C13" s="10">
        <f>SUM(C9:C12)</f>
        <v>1565075</v>
      </c>
      <c r="D13" s="10">
        <f>SUM(D9:D12)</f>
        <v>1182709.1000000001</v>
      </c>
      <c r="E13" s="8">
        <f t="shared" ref="E13" si="1">D13/C13</f>
        <v>0.75568844943533064</v>
      </c>
      <c r="F13" s="7"/>
    </row>
    <row r="14" spans="1:6" ht="37.9" customHeight="1">
      <c r="A14" s="20" t="s">
        <v>22</v>
      </c>
      <c r="B14" s="6" t="s">
        <v>23</v>
      </c>
      <c r="C14" s="6">
        <v>319500</v>
      </c>
      <c r="D14" s="6">
        <v>0</v>
      </c>
      <c r="E14" s="8">
        <f t="shared" si="0"/>
        <v>0</v>
      </c>
      <c r="F14" s="7" t="s">
        <v>24</v>
      </c>
    </row>
    <row r="15" spans="1:6" ht="56.25" customHeight="1">
      <c r="A15" s="21"/>
      <c r="B15" s="6" t="s">
        <v>25</v>
      </c>
      <c r="C15" s="6">
        <v>300000</v>
      </c>
      <c r="D15" s="6">
        <v>0</v>
      </c>
      <c r="E15" s="8">
        <f t="shared" si="0"/>
        <v>0</v>
      </c>
      <c r="F15" s="7" t="s">
        <v>26</v>
      </c>
    </row>
    <row r="16" spans="1:6" ht="90" customHeight="1">
      <c r="A16" s="21"/>
      <c r="B16" s="6" t="s">
        <v>12</v>
      </c>
      <c r="C16" s="6">
        <v>238004</v>
      </c>
      <c r="D16" s="6">
        <v>0</v>
      </c>
      <c r="E16" s="8">
        <f t="shared" si="0"/>
        <v>0</v>
      </c>
      <c r="F16" s="7" t="s">
        <v>27</v>
      </c>
    </row>
    <row r="17" spans="1:6" ht="98.25" customHeight="1">
      <c r="A17" s="21"/>
      <c r="B17" s="6" t="s">
        <v>28</v>
      </c>
      <c r="C17" s="6">
        <v>736240</v>
      </c>
      <c r="D17" s="6">
        <v>0</v>
      </c>
      <c r="E17" s="8">
        <f t="shared" si="0"/>
        <v>0</v>
      </c>
      <c r="F17" s="7" t="s">
        <v>29</v>
      </c>
    </row>
    <row r="18" spans="1:6" ht="60.75" customHeight="1">
      <c r="A18" s="21"/>
      <c r="B18" s="6" t="s">
        <v>15</v>
      </c>
      <c r="C18" s="6">
        <v>600000</v>
      </c>
      <c r="D18" s="6">
        <v>194377</v>
      </c>
      <c r="E18" s="8">
        <f t="shared" si="0"/>
        <v>0.32396166666666665</v>
      </c>
      <c r="F18" s="7" t="s">
        <v>30</v>
      </c>
    </row>
    <row r="19" spans="1:6" ht="37.9" customHeight="1">
      <c r="A19" s="21"/>
      <c r="B19" s="6" t="s">
        <v>9</v>
      </c>
      <c r="C19" s="6">
        <v>0</v>
      </c>
      <c r="D19" s="6">
        <v>0</v>
      </c>
      <c r="E19" s="8" t="e">
        <f>D19/C19</f>
        <v>#DIV/0!</v>
      </c>
      <c r="F19" s="7" t="s">
        <v>31</v>
      </c>
    </row>
    <row r="20" spans="1:6" ht="37.9" customHeight="1">
      <c r="A20" s="15" t="s">
        <v>32</v>
      </c>
      <c r="B20" s="16"/>
      <c r="C20" s="10">
        <f>SUM(C14:C19)</f>
        <v>2193744</v>
      </c>
      <c r="D20" s="10">
        <f>SUM(D14:D19)</f>
        <v>194377</v>
      </c>
      <c r="E20" s="8">
        <f t="shared" ref="E20:E21" si="2">D20/C20</f>
        <v>8.8605142623751909E-2</v>
      </c>
      <c r="F20" s="7"/>
    </row>
    <row r="21" spans="1:6" ht="56.25" customHeight="1">
      <c r="A21" s="13" t="s">
        <v>33</v>
      </c>
      <c r="B21" s="14"/>
      <c r="C21" s="11">
        <f>C8+C13+C20</f>
        <v>4818804</v>
      </c>
      <c r="D21" s="12">
        <f>D8+D13+D20</f>
        <v>2575494.1</v>
      </c>
      <c r="E21" s="8">
        <f t="shared" si="2"/>
        <v>0.5344674944239276</v>
      </c>
      <c r="F21" s="9"/>
    </row>
    <row r="22" spans="1:6" ht="15"/>
    <row r="23" spans="1:6" ht="15"/>
  </sheetData>
  <mergeCells count="9">
    <mergeCell ref="A21:B21"/>
    <mergeCell ref="A8:B8"/>
    <mergeCell ref="A1:F2"/>
    <mergeCell ref="B3:C3"/>
    <mergeCell ref="A5:A7"/>
    <mergeCell ref="A9:A12"/>
    <mergeCell ref="A14:A19"/>
    <mergeCell ref="A13:B13"/>
    <mergeCell ref="A20:B20"/>
  </mergeCells>
  <conditionalFormatting sqref="E5:E21">
    <cfRule type="dataBar" priority="2">
      <dataBar>
        <cfvo type="min"/>
        <cfvo type="max"/>
        <color rgb="FF63C384"/>
      </dataBar>
      <extLst>
        <ext xmlns:x14="http://schemas.microsoft.com/office/spreadsheetml/2009/9/main" uri="{B025F937-C7B1-47D3-B67F-A62EFF666E3E}">
          <x14:id>{C1065157-38EA-4128-9543-34D8752F98F8}</x14:id>
        </ext>
      </extLst>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C1065157-38EA-4128-9543-34D8752F98F8}">
            <x14:dataBar minLength="0" maxLength="100" border="1" negativeBarBorderColorSameAsPositive="0">
              <x14:cfvo type="autoMin"/>
              <x14:cfvo type="autoMax"/>
              <x14:borderColor rgb="FF63C384"/>
              <x14:negativeFillColor rgb="FFFF0000"/>
              <x14:negativeBorderColor rgb="FFFF0000"/>
              <x14:axisColor rgb="FF000000"/>
            </x14:dataBar>
          </x14:cfRule>
          <xm:sqref>E5:E21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Sobhi Aljassim</dc:creator>
  <cp:keywords/>
  <dc:description/>
  <cp:lastModifiedBy>Sobhi Aljassim</cp:lastModifiedBy>
  <cp:revision>3</cp:revision>
  <dcterms:created xsi:type="dcterms:W3CDTF">2026-09-13T06:33:49Z</dcterms:created>
  <dcterms:modified xsi:type="dcterms:W3CDTF">2026-10-06T10:35:11Z</dcterms:modified>
  <cp:category/>
  <cp:contentStatus/>
</cp:coreProperties>
</file>