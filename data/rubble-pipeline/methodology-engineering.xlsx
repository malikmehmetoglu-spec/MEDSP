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dar.g.MOEDM\Downloads\"/>
    </mc:Choice>
  </mc:AlternateContent>
  <xr:revisionPtr revIDLastSave="0" documentId="13_ncr:1_{5A6E9C56-5AC0-4C52-9D38-E9F30D1F356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تقدير الأنقاض" sheetId="1" r:id="rId1"/>
  </sheets>
  <definedNames>
    <definedName name="_xlnm.Print_Area" localSheetId="0">'تقدير الأنقاض'!$B$1:$F$31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1" l="1"/>
  <c r="C11" i="1"/>
</calcChain>
</file>

<file path=xl/sharedStrings.xml><?xml version="1.0" encoding="utf-8"?>
<sst xmlns="http://schemas.openxmlformats.org/spreadsheetml/2006/main" count="45" uniqueCount="40">
  <si>
    <t>الجمهورية العربية السورية - وزارة الطوارئ وإدارة الكوارث - إدارة تقييم الأضرار والتعافي</t>
  </si>
  <si>
    <t>استمارة تقدير كميات الأنقاض في موقع العمل</t>
  </si>
  <si>
    <t>وفق الدليل المختصر عن الآلية المعتمدة لتقدير كميات ترحيل الأنقاض - 2026</t>
  </si>
  <si>
    <t>أصفر = إدخال</t>
  </si>
  <si>
    <t>رمادي = حساب تلقائي</t>
  </si>
  <si>
    <t>أخضر = نتيجة</t>
  </si>
  <si>
    <t>متوسط مساحة المبنى</t>
  </si>
  <si>
    <t>م2</t>
  </si>
  <si>
    <t>مثال: 150</t>
  </si>
  <si>
    <t>متوسط عدد الطوابق</t>
  </si>
  <si>
    <t>طابق</t>
  </si>
  <si>
    <t>مثال: 4</t>
  </si>
  <si>
    <t>ارتفاع الطابق (اختياري)</t>
  </si>
  <si>
    <t>م</t>
  </si>
  <si>
    <t>اتركه فارغاً لاعتماد 3 م</t>
  </si>
  <si>
    <t>الحجم الإنشائي للمبنى الواحد</t>
  </si>
  <si>
    <t>م3</t>
  </si>
  <si>
    <t>المساحة × عدد الطوابق × ارتفاع الطابق</t>
  </si>
  <si>
    <t>عدد المباني المدمرة</t>
  </si>
  <si>
    <t>مبنى</t>
  </si>
  <si>
    <t>فارغ = عدد المدمر كلياً أعلاه</t>
  </si>
  <si>
    <t>مساحة المسقط الطابقي A</t>
  </si>
  <si>
    <t>فارغ = متوسط المساحة أعلاه</t>
  </si>
  <si>
    <t>عدد الطوابق N</t>
  </si>
  <si>
    <t>فارغ = متوسط الطوابق أعلاه</t>
  </si>
  <si>
    <t>معامل الركام الإنشائي Cu</t>
  </si>
  <si>
    <t>م3/م2</t>
  </si>
  <si>
    <t>قائمة 0.20 - 0.25 | فارغ = 0.225</t>
  </si>
  <si>
    <t>عامل الانتفاخ Bf</t>
  </si>
  <si>
    <t>قائمة 1.30 - 1.50 | فارغ = 1.40</t>
  </si>
  <si>
    <t>حجم الأنقاض - المنهجية الثانية</t>
  </si>
  <si>
    <t>طن/م3</t>
  </si>
  <si>
    <t>القيم المرجعية المعتمدة في الدليل (مقفلة)</t>
  </si>
  <si>
    <t>ارتفاع الطابق المعياري</t>
  </si>
  <si>
    <t>Cu الافتراضي (منتصف المجال)</t>
  </si>
  <si>
    <t>Bf الافتراضي (منتصف المجال)</t>
  </si>
  <si>
    <t>P الافتراضي (منتصف المجال)</t>
  </si>
  <si>
    <t>إشعار: هذه الأداة داعمة للتقدير الفني ومسؤولية القرار النهائي تقع على فريق الخبراء المختص بإصدار التقارير الفنية النهائية.</t>
  </si>
  <si>
    <t xml:space="preserve"> المنهجية : الطريقة الهندسية </t>
  </si>
  <si>
    <t>خصائص المبنى النموذجي في الموقع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</si>
</sst>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"/>
    <numFmt numFmtId="166" formatCode="0.0"/>
    <numFmt numFmtId="167" formatCode="0.000"/>
  </numFmts>
  <fonts count="11" x14ac:knownFonts="1">
    <font>
      <sz val="11"/>
      <color theme="1"/>
      <name val="Calibri"/>
      <family val="2"/>
      <charset val="1"/>
    </font>
    <font>
      <b/>
      <sz val="10"/>
      <color rgb="FF1F4E3D"/>
      <name val="Arial"/>
      <family val="2"/>
      <charset val="178"/>
    </font>
    <font>
      <sz val="11"/>
      <color theme="1"/>
      <name val="Calibri"/>
      <family val="2"/>
      <charset val="178"/>
    </font>
    <font>
      <b/>
      <sz val="16"/>
      <color rgb="FFFFFFFF"/>
      <name val="Arial"/>
      <family val="2"/>
      <charset val="178"/>
    </font>
    <font>
      <sz val="9"/>
      <color rgb="FFB8860B"/>
      <name val="Arial"/>
      <family val="2"/>
      <charset val="178"/>
    </font>
    <font>
      <sz val="9"/>
      <color rgb="FF000000"/>
      <name val="Arial"/>
      <family val="2"/>
      <charset val="178"/>
    </font>
    <font>
      <b/>
      <sz val="12"/>
      <color rgb="FFFFFFFF"/>
      <name val="Arial"/>
      <family val="2"/>
      <charset val="178"/>
    </font>
    <font>
      <sz val="11"/>
      <color rgb="FF000000"/>
      <name val="Arial"/>
      <family val="2"/>
      <charset val="178"/>
    </font>
    <font>
      <sz val="11"/>
      <color rgb="FF0000FF"/>
      <name val="Arial"/>
      <family val="2"/>
      <charset val="178"/>
    </font>
    <font>
      <sz val="9"/>
      <color rgb="FF7F7F7F"/>
      <name val="Arial"/>
      <family val="2"/>
      <charset val="178"/>
    </font>
    <font>
      <b/>
      <sz val="12"/>
      <color rgb="FF000000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rgb="FF1F4E3D"/>
        <bgColor rgb="FF2E6B55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2E6B55"/>
        <bgColor rgb="FF1F4E3D"/>
      </patternFill>
    </fill>
    <fill>
      <patternFill patternType="solid">
        <fgColor rgb="FFFFFFFF"/>
        <bgColor rgb="FFF2F2F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right" vertical="center" wrapText="1" indent="1"/>
    </xf>
    <xf numFmtId="0" fontId="7" fillId="7" borderId="2" xfId="0" applyFont="1" applyFill="1" applyBorder="1" applyAlignment="1">
      <alignment horizontal="right" vertical="center" wrapText="1" indent="1"/>
    </xf>
    <xf numFmtId="165" fontId="8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7" borderId="2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vertical="center" wrapText="1"/>
    </xf>
    <xf numFmtId="0" fontId="9" fillId="7" borderId="3" xfId="0" applyFont="1" applyFill="1" applyBorder="1" applyAlignment="1">
      <alignment vertical="center" wrapText="1"/>
    </xf>
    <xf numFmtId="166" fontId="8" fillId="3" borderId="2" xfId="0" applyNumberFormat="1" applyFont="1" applyFill="1" applyBorder="1" applyAlignment="1" applyProtection="1">
      <alignment horizontal="center" vertical="center" wrapText="1"/>
      <protection locked="0"/>
    </xf>
    <xf numFmtId="2" fontId="8" fillId="3" borderId="2" xfId="0" applyNumberFormat="1" applyFont="1" applyFill="1" applyBorder="1" applyAlignment="1" applyProtection="1">
      <alignment horizontal="center" vertical="center" wrapText="1"/>
      <protection locked="0"/>
    </xf>
    <xf numFmtId="3" fontId="7" fillId="4" borderId="2" xfId="0" applyNumberFormat="1" applyFont="1" applyFill="1" applyBorder="1" applyAlignment="1">
      <alignment horizontal="center" vertical="center" wrapText="1"/>
    </xf>
    <xf numFmtId="3" fontId="8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7" borderId="3" xfId="0" applyFont="1" applyFill="1" applyBorder="1" applyAlignment="1">
      <alignment horizontal="right" vertical="center" wrapText="1" indent="1"/>
    </xf>
    <xf numFmtId="3" fontId="10" fillId="5" borderId="2" xfId="0" applyNumberFormat="1" applyFont="1" applyFill="1" applyBorder="1" applyAlignment="1">
      <alignment horizontal="center" vertical="center" wrapText="1"/>
    </xf>
    <xf numFmtId="167" fontId="7" fillId="4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2E6B55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31"/>
  <sheetViews>
    <sheetView showGridLines="0" rightToLeft="1" tabSelected="1" zoomScaleNormal="100" workbookViewId="0">
      <selection activeCell="C15" sqref="C15:C19"/>
    </sheetView>
  </sheetViews>
  <sheetFormatPr defaultColWidth="8.6640625" defaultRowHeight="14.4" x14ac:dyDescent="0.3"/>
  <cols>
    <col min="1" max="1" width="2" style="2" customWidth="1"/>
    <col min="2" max="2" width="34" style="2" customWidth="1"/>
    <col min="3" max="3" width="18" style="2" customWidth="1"/>
    <col min="4" max="4" width="16" style="2" customWidth="1"/>
    <col min="5" max="5" width="18" style="2" customWidth="1"/>
    <col min="6" max="6" width="34" style="2" customWidth="1"/>
    <col min="7" max="16384" width="8.6640625" style="2"/>
  </cols>
  <sheetData>
    <row r="1" spans="2:6" ht="18" customHeight="1" x14ac:dyDescent="0.3">
      <c r="B1" s="1" t="s">
        <v>0</v>
      </c>
      <c r="C1" s="1"/>
      <c r="D1" s="1"/>
      <c r="E1" s="1"/>
      <c r="F1" s="1"/>
    </row>
    <row r="2" spans="2:6" ht="33.75" customHeight="1" x14ac:dyDescent="0.3">
      <c r="B2" s="3" t="s">
        <v>1</v>
      </c>
      <c r="C2" s="3"/>
      <c r="D2" s="3"/>
      <c r="E2" s="3"/>
      <c r="F2" s="3"/>
    </row>
    <row r="3" spans="2:6" ht="15.75" customHeight="1" x14ac:dyDescent="0.3">
      <c r="B3" s="4" t="s">
        <v>2</v>
      </c>
      <c r="C3" s="4"/>
      <c r="D3" s="4"/>
      <c r="E3" s="4"/>
      <c r="F3" s="4"/>
    </row>
    <row r="4" spans="2:6" ht="19.5" customHeight="1" x14ac:dyDescent="0.3">
      <c r="B4" s="5" t="s">
        <v>3</v>
      </c>
      <c r="C4" s="6" t="s">
        <v>4</v>
      </c>
      <c r="D4" s="7" t="s">
        <v>5</v>
      </c>
    </row>
    <row r="7" spans="2:6" ht="24" customHeight="1" x14ac:dyDescent="0.3">
      <c r="B7" s="8" t="s">
        <v>39</v>
      </c>
      <c r="C7" s="8"/>
      <c r="D7" s="8"/>
      <c r="E7" s="8"/>
      <c r="F7" s="8"/>
    </row>
    <row r="8" spans="2:6" ht="21.75" customHeight="1" x14ac:dyDescent="0.3">
      <c r="B8" s="9" t="s">
        <v>6</v>
      </c>
      <c r="C8" s="10"/>
      <c r="D8" s="11" t="s">
        <v>7</v>
      </c>
      <c r="E8" s="12" t="s">
        <v>8</v>
      </c>
      <c r="F8" s="13"/>
    </row>
    <row r="9" spans="2:6" ht="21.75" customHeight="1" x14ac:dyDescent="0.3">
      <c r="B9" s="9" t="s">
        <v>9</v>
      </c>
      <c r="C9" s="14"/>
      <c r="D9" s="11" t="s">
        <v>10</v>
      </c>
      <c r="E9" s="12" t="s">
        <v>11</v>
      </c>
      <c r="F9" s="13"/>
    </row>
    <row r="10" spans="2:6" ht="21.75" customHeight="1" x14ac:dyDescent="0.3">
      <c r="B10" s="9" t="s">
        <v>12</v>
      </c>
      <c r="C10" s="15"/>
      <c r="D10" s="11" t="s">
        <v>13</v>
      </c>
      <c r="E10" s="12" t="s">
        <v>14</v>
      </c>
      <c r="F10" s="13"/>
    </row>
    <row r="11" spans="2:6" ht="21.75" customHeight="1" x14ac:dyDescent="0.3">
      <c r="B11" s="9" t="s">
        <v>15</v>
      </c>
      <c r="C11" s="16" t="str">
        <f>IF(AND(ISNUMBER(C8),ISNUMBER(C9)),C8*C9*IF(C10="",$C$26,C10),"")</f>
        <v/>
      </c>
      <c r="D11" s="11" t="s">
        <v>16</v>
      </c>
      <c r="E11" s="12" t="s">
        <v>17</v>
      </c>
      <c r="F11" s="13"/>
    </row>
    <row r="14" spans="2:6" ht="24" customHeight="1" x14ac:dyDescent="0.3">
      <c r="B14" s="8" t="s">
        <v>38</v>
      </c>
      <c r="C14" s="8"/>
      <c r="D14" s="8"/>
      <c r="E14" s="8"/>
      <c r="F14" s="8"/>
    </row>
    <row r="15" spans="2:6" ht="21.75" customHeight="1" x14ac:dyDescent="0.3">
      <c r="B15" s="9" t="s">
        <v>18</v>
      </c>
      <c r="C15" s="17"/>
      <c r="D15" s="11" t="s">
        <v>19</v>
      </c>
      <c r="E15" s="18" t="s">
        <v>20</v>
      </c>
      <c r="F15" s="18"/>
    </row>
    <row r="16" spans="2:6" ht="21.75" customHeight="1" x14ac:dyDescent="0.3">
      <c r="B16" s="9" t="s">
        <v>21</v>
      </c>
      <c r="C16" s="10"/>
      <c r="D16" s="11" t="s">
        <v>7</v>
      </c>
      <c r="E16" s="18" t="s">
        <v>22</v>
      </c>
      <c r="F16" s="18"/>
    </row>
    <row r="17" spans="2:6" ht="21.75" customHeight="1" x14ac:dyDescent="0.3">
      <c r="B17" s="9" t="s">
        <v>23</v>
      </c>
      <c r="C17" s="14"/>
      <c r="D17" s="11" t="s">
        <v>10</v>
      </c>
      <c r="E17" s="18" t="s">
        <v>24</v>
      </c>
      <c r="F17" s="18"/>
    </row>
    <row r="18" spans="2:6" ht="21.75" customHeight="1" x14ac:dyDescent="0.3">
      <c r="B18" s="9" t="s">
        <v>25</v>
      </c>
      <c r="C18" s="15"/>
      <c r="D18" s="11" t="s">
        <v>26</v>
      </c>
      <c r="E18" s="18" t="s">
        <v>27</v>
      </c>
      <c r="F18" s="18"/>
    </row>
    <row r="19" spans="2:6" ht="21.75" customHeight="1" x14ac:dyDescent="0.3">
      <c r="B19" s="9" t="s">
        <v>28</v>
      </c>
      <c r="C19" s="15"/>
      <c r="D19" s="11"/>
      <c r="E19" s="18" t="s">
        <v>29</v>
      </c>
      <c r="F19" s="18"/>
    </row>
    <row r="20" spans="2:6" ht="21.75" customHeight="1" x14ac:dyDescent="0.3">
      <c r="B20" s="9" t="s">
        <v>30</v>
      </c>
      <c r="C20" s="19" t="str">
        <f>IF(OR(NOT(ISNUMBER(IF(C16="",C8,C16))),NOT(ISNUMBER(IF(C17="",C9,C17)))),"",IF(C15="",N(#REF!),C15)*IF(C16="",C8,C16)*IF(C17="",C9,C17)*IF(C18="",$C$27,C18)*IF(C19="",$C$28,C19))</f>
        <v/>
      </c>
      <c r="D20" s="11" t="s">
        <v>16</v>
      </c>
      <c r="E20" s="18"/>
      <c r="F20" s="18"/>
    </row>
    <row r="24" spans="2:6" ht="24" customHeight="1" x14ac:dyDescent="0.3">
      <c r="B24" s="8" t="s">
        <v>32</v>
      </c>
      <c r="C24" s="8"/>
      <c r="D24" s="8"/>
      <c r="E24" s="8"/>
      <c r="F24" s="8"/>
    </row>
    <row r="26" spans="2:6" x14ac:dyDescent="0.3">
      <c r="B26" s="9" t="s">
        <v>33</v>
      </c>
      <c r="C26" s="20">
        <v>3</v>
      </c>
      <c r="D26" s="11" t="s">
        <v>13</v>
      </c>
    </row>
    <row r="27" spans="2:6" x14ac:dyDescent="0.3">
      <c r="B27" s="9" t="s">
        <v>34</v>
      </c>
      <c r="C27" s="20">
        <v>0.22500000000000001</v>
      </c>
      <c r="D27" s="11" t="s">
        <v>26</v>
      </c>
    </row>
    <row r="28" spans="2:6" x14ac:dyDescent="0.3">
      <c r="B28" s="9" t="s">
        <v>35</v>
      </c>
      <c r="C28" s="20">
        <v>1.4</v>
      </c>
      <c r="D28" s="11"/>
    </row>
    <row r="29" spans="2:6" x14ac:dyDescent="0.3">
      <c r="B29" s="9" t="s">
        <v>36</v>
      </c>
      <c r="C29" s="20">
        <v>1.35</v>
      </c>
      <c r="D29" s="11" t="s">
        <v>31</v>
      </c>
    </row>
    <row r="31" spans="2:6" ht="30" customHeight="1" x14ac:dyDescent="0.3">
      <c r="B31" s="21" t="s">
        <v>37</v>
      </c>
      <c r="C31" s="21"/>
      <c r="D31" s="21"/>
      <c r="E31" s="21"/>
      <c r="F31" s="21"/>
    </row>
  </sheetData>
  <sheetProtection algorithmName="SHA-512" hashValue="THFeeWuuje/JFE041h9dspYQIXiMZ+Uu2onuMvS+OkmZgKEO/HDHbvgnu2z0kV5JXK2ZJ4frM3Llhx/9Hna/mQ==" saltValue="GynAgx6IwW8G9N38gMWmbQ==" spinCount="100000" sheet="1"/>
  <mergeCells count="17">
    <mergeCell ref="B24:F24"/>
    <mergeCell ref="B31:F31"/>
    <mergeCell ref="E17:F17"/>
    <mergeCell ref="E18:F18"/>
    <mergeCell ref="E19:F19"/>
    <mergeCell ref="E20:F20"/>
    <mergeCell ref="B14:F14"/>
    <mergeCell ref="E15:F15"/>
    <mergeCell ref="E16:F16"/>
    <mergeCell ref="E8:F8"/>
    <mergeCell ref="E9:F9"/>
    <mergeCell ref="E10:F10"/>
    <mergeCell ref="E11:F11"/>
    <mergeCell ref="B7:F7"/>
    <mergeCell ref="B1:F1"/>
    <mergeCell ref="B2:F2"/>
    <mergeCell ref="B3:F3"/>
  </mergeCells>
  <dataValidations count="6">
    <dataValidation type="decimal" allowBlank="1" showErrorMessage="1" errorTitle="قيمة غير صحيحة" error="أدخل المساحة بالمتر المربع" sqref="C8 C16" xr:uid="{00000000-0002-0000-0000-000002000000}">
      <formula1>1</formula1>
      <formula2>100000</formula2>
    </dataValidation>
    <dataValidation type="decimal" allowBlank="1" showErrorMessage="1" errorTitle="قيمة غير صحيحة" error="عدد الطوابق بين 1 و60" sqref="C9 C17" xr:uid="{00000000-0002-0000-0000-000003000000}">
      <formula1>1</formula1>
      <formula2>60</formula2>
    </dataValidation>
    <dataValidation type="decimal" allowBlank="1" showErrorMessage="1" errorTitle="قيمة غير صحيحة" error="ارتفاع الطابق بين 2 و8 م أو اتركه فارغاً" sqref="C10" xr:uid="{00000000-0002-0000-0000-000004000000}">
      <formula1>2</formula1>
      <formula2>8</formula2>
    </dataValidation>
    <dataValidation type="whole" operator="greaterThanOrEqual" allowBlank="1" showErrorMessage="1" errorTitle="قيمة غير صحيحة" error="أدخل عدداً صحيحاً" sqref="C15" xr:uid="{00000000-0002-0000-0000-000005000000}">
      <formula1>0</formula1>
      <formula2>0</formula2>
    </dataValidation>
    <dataValidation type="list" allowBlank="1" showErrorMessage="1" errorTitle="قيمة غير صحيحة" error="اختر Cu من القائمة" sqref="C18" xr:uid="{00000000-0002-0000-0000-000007000000}">
      <formula1>"0.20,0.21,0.22,0.23,0.24,0.25"</formula1>
      <formula2>0</formula2>
    </dataValidation>
    <dataValidation type="list" allowBlank="1" showErrorMessage="1" errorTitle="قيمة غير صحيحة" error="اختر Bf من القائمة" sqref="C19" xr:uid="{00000000-0002-0000-0000-000008000000}">
      <formula1>"1.30,1.35,1.40,1.45,1.50"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تقدير الأنقاض</vt:lpstr>
      <vt:lpstr>'تقدير الأنقاض'!Print_Area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Modar  Ghalya</cp:lastModifiedBy>
  <cp:revision>0</cp:revision>
  <dcterms:created xsi:type="dcterms:W3CDTF">2026-09-23T19:42:06Z</dcterms:created>
  <dcterms:modified xsi:type="dcterms:W3CDTF">2026-09-23T19:51:46Z</dcterms:modified>
  <dc:language>en-US</dc:language>
</cp:coreProperties>
</file>